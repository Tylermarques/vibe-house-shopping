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<sst xmlns="http://schemas.openxmlformats.org/spreadsheetml/2006/main" count="29" uniqueCount="29">
  <si>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Home Price</t>
  </si>
  <si>
    <t>Total cost of the home</t>
  </si>
  <si>
    <t>Down Payment %</t>
  </si>
  <si>
    <t>Enter as a percentage</t>
  </si>
  <si>
    <t>Purchase Fees</t>
  </si>
  <si>
    <t>Closing costs, inspections, etc.</t>
  </si>
  <si>
    <t>Proptery Tax</t>
  </si>
  <si>
    <t>Monthly Repair Est.</t>
  </si>
  <si>
    <t>Annual Maint.</t>
  </si>
  <si>
    <t>Yearly HOA, repairs, taxes</t>
  </si>
  <si>
    <t>Monthly Maint.</t>
  </si>
  <si>
    <t>Annual Growth %</t>
  </si>
  <si>
    <t>Expected value increase</t>
  </si>
  <si>
    <t>Monthly Taxes</t>
  </si>
  <si>
    <t>Initial Loan</t>
  </si>
  <si>
    <t>Calculated automatically</t>
  </si>
  <si>
    <t>Monthly Repair</t>
  </si>
  <si>
    <t>Interest Rate</t>
  </si>
  <si>
    <t>Total Monthly Owed</t>
  </si>
  <si>
    <t>Loan Term</t>
  </si>
  <si>
    <t>Monthly Pmt</t>
  </si>
  <si>
    <t>Year</t>
  </si>
  <si>
    <t>Home Value</t>
  </si>
  <si>
    <t>Equity (Value - Loan)</t>
  </si>
  <si>
    <t>Taxes</t>
  </si>
  <si>
    <t>Repair</t>
  </si>
  <si>
    <t>Maintenance</t>
  </si>
  <si>
    <t>Cash Outflow</t>
  </si>
  <si>
    <t>Total Cash Invested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</si>
</sst>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9">
    <font>
      <sz val="10.0"/>
      <color rgb="FF000000"/>
      <name val="Arial"/>
      <scheme val="minor"/>
    </font>
    <font>
      <b/>
      <color theme="1"/>
      <name val="Google Sans Text"/>
    </font>
    <font>
      <color theme="1"/>
      <name val="Google Sans Text"/>
    </font>
    <font>
      <color rgb="FF999999"/>
      <name val="Google Sans Text"/>
    </font>
    <font>
      <b/>
      <color theme="1"/>
      <name val="Arial"/>
      <scheme val="minor"/>
    </font>
    <font>
      <color theme="1"/>
      <name val="Arial"/>
      <scheme val="minor"/>
    </font>
    <font>
      <i/>
      <color rgb="FF999999"/>
      <name val="Google Sans Text"/>
    </font>
    <font>
      <b/>
      <color rgb="FFF3F3F3"/>
      <name val="Arial"/>
      <scheme val="minor"/>
    </font>
    <font>
      <color rgb="FFF3F3F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164" xfId="0" applyFont="1" applyNumberFormat="1"/>
    <xf borderId="0" fillId="0" fontId="6" numFmtId="0" xfId="0" applyAlignment="1" applyFont="1">
      <alignment readingOrder="0"/>
    </xf>
    <xf borderId="0" fillId="0" fontId="5" numFmtId="164" xfId="0" applyFont="1" applyNumberFormat="1"/>
    <xf borderId="0" fillId="0" fontId="5" numFmtId="10" xfId="0" applyAlignment="1" applyFont="1" applyNumberFormat="1">
      <alignment readingOrder="0"/>
    </xf>
    <xf borderId="0" fillId="2" fontId="7" numFmtId="0" xfId="0" applyAlignment="1" applyFill="1" applyFont="1">
      <alignment readingOrder="0"/>
    </xf>
    <xf borderId="0" fillId="2" fontId="8" numFmtId="165" xfId="0" applyFont="1" applyNumberFormat="1"/>
    <xf borderId="0" fillId="0" fontId="5" numFmtId="165" xfId="0" applyFont="1" applyNumberFormat="1"/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3:H44" displayName="Table1" name="Table1" id="1">
  <tableColumns count="8">
    <tableColumn name="Year" id="1"/>
    <tableColumn name="Home Value" id="2"/>
    <tableColumn name="Equity (Value - Loan)" id="3"/>
    <tableColumn name="Taxes" id="4"/>
    <tableColumn name="Repair" id="5"/>
    <tableColumn name="Maintenance" id="6"/>
    <tableColumn name="Cash Outflow" id="7"/>
    <tableColumn name="Total Cash Invested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38"/>
    <col customWidth="1" min="3" max="3" width="24.63"/>
    <col customWidth="1" min="4" max="4" width="23.38"/>
    <col customWidth="1" min="5" max="5" width="15.88"/>
    <col customWidth="1" min="8" max="8" width="19.38"/>
  </cols>
  <sheetData>
    <row r="1">
      <c r="A1" s="1" t="s">
        <v>0</v>
      </c>
      <c r="B1" s="2">
        <v>1100000.0</v>
      </c>
      <c r="C1" s="3" t="s">
        <v>1</v>
      </c>
    </row>
    <row r="2">
      <c r="A2" s="1" t="s">
        <v>2</v>
      </c>
      <c r="B2" s="4">
        <v>0.2</v>
      </c>
      <c r="C2" s="3" t="s">
        <v>3</v>
      </c>
    </row>
    <row r="3">
      <c r="A3" s="1" t="s">
        <v>4</v>
      </c>
      <c r="B3" s="2">
        <v>35000.0</v>
      </c>
      <c r="C3" s="3" t="s">
        <v>5</v>
      </c>
    </row>
    <row r="4">
      <c r="A4" s="1" t="s">
        <v>6</v>
      </c>
      <c r="B4" s="4">
        <v>0.012</v>
      </c>
      <c r="C4" s="3"/>
      <c r="D4" s="5"/>
      <c r="E4" s="6"/>
    </row>
    <row r="5">
      <c r="A5" s="1" t="s">
        <v>7</v>
      </c>
      <c r="B5" s="4">
        <v>3.0E-4</v>
      </c>
      <c r="C5" s="7">
        <f>B5*B1</f>
        <v>330</v>
      </c>
      <c r="D5" s="5"/>
      <c r="E5" s="6"/>
    </row>
    <row r="6">
      <c r="A6" s="1" t="s">
        <v>8</v>
      </c>
      <c r="B6" s="2">
        <f>E6*12</f>
        <v>8256</v>
      </c>
      <c r="C6" s="3" t="s">
        <v>9</v>
      </c>
      <c r="D6" s="5" t="s">
        <v>10</v>
      </c>
      <c r="E6" s="6">
        <v>688.0</v>
      </c>
    </row>
    <row r="7">
      <c r="A7" s="1" t="s">
        <v>11</v>
      </c>
      <c r="B7" s="4">
        <v>0.03</v>
      </c>
      <c r="C7" s="3" t="s">
        <v>12</v>
      </c>
      <c r="D7" s="5" t="s">
        <v>13</v>
      </c>
      <c r="E7" s="6">
        <v>322.0</v>
      </c>
    </row>
    <row r="8">
      <c r="A8" s="1" t="s">
        <v>14</v>
      </c>
      <c r="B8" s="8">
        <f>B1*(1-B2)</f>
        <v>880000</v>
      </c>
      <c r="C8" s="9" t="s">
        <v>15</v>
      </c>
      <c r="D8" s="6" t="s">
        <v>16</v>
      </c>
      <c r="E8" s="10">
        <f>C5</f>
        <v>330</v>
      </c>
    </row>
    <row r="9">
      <c r="A9" s="5" t="s">
        <v>17</v>
      </c>
      <c r="B9" s="11">
        <v>0.0479</v>
      </c>
      <c r="D9" s="12" t="s">
        <v>18</v>
      </c>
      <c r="E9" s="13">
        <f>SUM(E2:E8)+B11</f>
        <v>5951.737444</v>
      </c>
    </row>
    <row r="10">
      <c r="A10" s="5" t="s">
        <v>19</v>
      </c>
      <c r="B10" s="6">
        <v>30.0</v>
      </c>
      <c r="C10" s="6"/>
      <c r="D10" s="6"/>
    </row>
    <row r="11">
      <c r="A11" s="5" t="s">
        <v>20</v>
      </c>
      <c r="B11" s="14">
        <f>PMT(B9/12,B10*12,-B8)</f>
        <v>4611.737444</v>
      </c>
      <c r="C11" s="6"/>
      <c r="D11" s="6"/>
    </row>
    <row r="12">
      <c r="A12" s="6"/>
      <c r="B12" s="6"/>
      <c r="C12" s="6"/>
      <c r="D12" s="6"/>
    </row>
    <row r="13" ht="22.5" customHeight="1">
      <c r="A13" s="15" t="s">
        <v>21</v>
      </c>
      <c r="B13" s="15" t="s">
        <v>22</v>
      </c>
      <c r="C13" s="15" t="s">
        <v>23</v>
      </c>
      <c r="D13" s="16" t="s">
        <v>24</v>
      </c>
      <c r="E13" s="16" t="s">
        <v>25</v>
      </c>
      <c r="F13" s="16" t="s">
        <v>26</v>
      </c>
      <c r="G13" s="16" t="s">
        <v>27</v>
      </c>
      <c r="H13" s="15" t="s">
        <v>28</v>
      </c>
    </row>
    <row r="14" ht="22.5" customHeight="1">
      <c r="A14" s="17">
        <v>0.0</v>
      </c>
      <c r="B14" s="18">
        <f>B1</f>
        <v>1100000</v>
      </c>
      <c r="C14" s="19">
        <f t="shared" ref="C14:C44" si="1">B14 - PV($B$9/12, ($B$10-A14)*12, -$B$11)</f>
        <v>220000</v>
      </c>
      <c r="D14" s="18">
        <f t="shared" ref="D14:D44" si="2">B14*(B$4)</f>
        <v>13200</v>
      </c>
      <c r="E14" s="18">
        <f t="shared" ref="E14:E44" si="3">B14*(B$5*12)</f>
        <v>3960</v>
      </c>
      <c r="F14" s="18">
        <f t="shared" ref="F14:F44" si="4">B$6*(1+0.02)^A14</f>
        <v>8256</v>
      </c>
      <c r="G14" s="18">
        <f t="shared" ref="G14:G44" si="5">SUM(D14:F14)</f>
        <v>25416</v>
      </c>
      <c r="H14" s="18">
        <f>(B1*B2)+B3</f>
        <v>255000</v>
      </c>
    </row>
    <row r="15" ht="22.5" customHeight="1">
      <c r="A15" s="17">
        <v>1.0</v>
      </c>
      <c r="B15" s="18">
        <f t="shared" ref="B15:B44" si="6">B14*(1+$B$7)</f>
        <v>1133000</v>
      </c>
      <c r="C15" s="19">
        <f t="shared" si="1"/>
        <v>266482.287</v>
      </c>
      <c r="D15" s="18">
        <f t="shared" si="2"/>
        <v>13596</v>
      </c>
      <c r="E15" s="18">
        <f t="shared" si="3"/>
        <v>4078.8</v>
      </c>
      <c r="F15" s="18">
        <f t="shared" si="4"/>
        <v>8421.12</v>
      </c>
      <c r="G15" s="18">
        <f t="shared" si="5"/>
        <v>26095.92</v>
      </c>
      <c r="H15" s="18">
        <f>H14 + G15</f>
        <v>281095.92</v>
      </c>
    </row>
    <row r="16" ht="22.5" customHeight="1">
      <c r="A16" s="17">
        <v>2.0</v>
      </c>
      <c r="B16" s="18">
        <f t="shared" si="6"/>
        <v>1166990</v>
      </c>
      <c r="C16" s="19">
        <f t="shared" si="1"/>
        <v>314614.7439</v>
      </c>
      <c r="D16" s="18">
        <f t="shared" si="2"/>
        <v>14003.88</v>
      </c>
      <c r="E16" s="18">
        <f t="shared" si="3"/>
        <v>4201.164</v>
      </c>
      <c r="F16" s="18">
        <f t="shared" si="4"/>
        <v>8589.5424</v>
      </c>
      <c r="G16" s="18">
        <f t="shared" si="5"/>
        <v>26794.5864</v>
      </c>
      <c r="H16" s="18">
        <f t="shared" ref="H16:H44" si="7">H15 + $B$6 + ($B$11*12) + (B16*$B$4) + (B16*$B$5)</f>
        <v>359046.7463</v>
      </c>
    </row>
    <row r="17" ht="22.5" customHeight="1">
      <c r="A17" s="17">
        <v>3.0</v>
      </c>
      <c r="B17" s="18">
        <f t="shared" si="6"/>
        <v>1201999.7</v>
      </c>
      <c r="C17" s="19">
        <f t="shared" si="1"/>
        <v>364459.3964</v>
      </c>
      <c r="D17" s="18">
        <f t="shared" si="2"/>
        <v>14423.9964</v>
      </c>
      <c r="E17" s="18">
        <f t="shared" si="3"/>
        <v>4327.19892</v>
      </c>
      <c r="F17" s="18">
        <f t="shared" si="4"/>
        <v>8761.333248</v>
      </c>
      <c r="G17" s="18">
        <f t="shared" si="5"/>
        <v>27512.52857</v>
      </c>
      <c r="H17" s="18">
        <f t="shared" si="7"/>
        <v>437428.192</v>
      </c>
    </row>
    <row r="18" ht="22.5" customHeight="1">
      <c r="A18" s="17">
        <v>4.0</v>
      </c>
      <c r="B18" s="18">
        <f t="shared" si="6"/>
        <v>1238059.691</v>
      </c>
      <c r="C18" s="19">
        <f t="shared" si="1"/>
        <v>416080.7441</v>
      </c>
      <c r="D18" s="18">
        <f t="shared" si="2"/>
        <v>14856.71629</v>
      </c>
      <c r="E18" s="18">
        <f t="shared" si="3"/>
        <v>4457.014888</v>
      </c>
      <c r="F18" s="18">
        <f t="shared" si="4"/>
        <v>8936.559913</v>
      </c>
      <c r="G18" s="18">
        <f t="shared" si="5"/>
        <v>28250.29109</v>
      </c>
      <c r="H18" s="18">
        <f t="shared" si="7"/>
        <v>516253.1755</v>
      </c>
    </row>
    <row r="19" ht="22.5" customHeight="1">
      <c r="A19" s="17">
        <v>5.0</v>
      </c>
      <c r="B19" s="18">
        <f t="shared" si="6"/>
        <v>1275201.482</v>
      </c>
      <c r="C19" s="19">
        <f t="shared" si="1"/>
        <v>469545.8647</v>
      </c>
      <c r="D19" s="18">
        <f t="shared" si="2"/>
        <v>15302.41778</v>
      </c>
      <c r="E19" s="18">
        <f t="shared" si="3"/>
        <v>4590.725334</v>
      </c>
      <c r="F19" s="18">
        <f t="shared" si="4"/>
        <v>9115.291111</v>
      </c>
      <c r="G19" s="18">
        <f t="shared" si="5"/>
        <v>29008.43423</v>
      </c>
      <c r="H19" s="18">
        <f t="shared" si="7"/>
        <v>595535.0031</v>
      </c>
    </row>
    <row r="20" ht="22.5" customHeight="1">
      <c r="A20" s="17">
        <v>6.0</v>
      </c>
      <c r="B20" s="18">
        <f t="shared" si="6"/>
        <v>1313457.526</v>
      </c>
      <c r="C20" s="19">
        <f t="shared" si="1"/>
        <v>524924.5226</v>
      </c>
      <c r="D20" s="18">
        <f t="shared" si="2"/>
        <v>15761.49031</v>
      </c>
      <c r="E20" s="18">
        <f t="shared" si="3"/>
        <v>4728.447094</v>
      </c>
      <c r="F20" s="18">
        <f t="shared" si="4"/>
        <v>9297.596933</v>
      </c>
      <c r="G20" s="18">
        <f t="shared" si="5"/>
        <v>29787.53434</v>
      </c>
      <c r="H20" s="18">
        <f t="shared" si="7"/>
        <v>675287.38</v>
      </c>
    </row>
    <row r="21" ht="22.5" customHeight="1">
      <c r="A21" s="17">
        <v>7.0</v>
      </c>
      <c r="B21" s="18">
        <f t="shared" si="6"/>
        <v>1352861.252</v>
      </c>
      <c r="C21" s="19">
        <f t="shared" si="1"/>
        <v>582289.283</v>
      </c>
      <c r="D21" s="18">
        <f t="shared" si="2"/>
        <v>16234.33502</v>
      </c>
      <c r="E21" s="18">
        <f t="shared" si="3"/>
        <v>4870.300507</v>
      </c>
      <c r="F21" s="18">
        <f t="shared" si="4"/>
        <v>9483.548872</v>
      </c>
      <c r="G21" s="18">
        <f t="shared" si="5"/>
        <v>30588.1844</v>
      </c>
      <c r="H21" s="18">
        <f t="shared" si="7"/>
        <v>755524.4227</v>
      </c>
    </row>
    <row r="22" ht="22.5" customHeight="1">
      <c r="A22" s="17">
        <v>8.0</v>
      </c>
      <c r="B22" s="18">
        <f t="shared" si="6"/>
        <v>1393447.09</v>
      </c>
      <c r="C22" s="19">
        <f t="shared" si="1"/>
        <v>641715.6302</v>
      </c>
      <c r="D22" s="18">
        <f t="shared" si="2"/>
        <v>16721.36507</v>
      </c>
      <c r="E22" s="18">
        <f t="shared" si="3"/>
        <v>5016.409522</v>
      </c>
      <c r="F22" s="18">
        <f t="shared" si="4"/>
        <v>9673.21985</v>
      </c>
      <c r="G22" s="18">
        <f t="shared" si="5"/>
        <v>31410.99445</v>
      </c>
      <c r="H22" s="18">
        <f t="shared" si="7"/>
        <v>836260.6712</v>
      </c>
    </row>
    <row r="23" ht="22.5" customHeight="1">
      <c r="A23" s="17">
        <v>9.0</v>
      </c>
      <c r="B23" s="18">
        <f t="shared" si="6"/>
        <v>1435250.502</v>
      </c>
      <c r="C23" s="19">
        <f t="shared" si="1"/>
        <v>703282.0917</v>
      </c>
      <c r="D23" s="18">
        <f t="shared" si="2"/>
        <v>17223.00603</v>
      </c>
      <c r="E23" s="18">
        <f t="shared" si="3"/>
        <v>5166.901808</v>
      </c>
      <c r="F23" s="18">
        <f t="shared" si="4"/>
        <v>9866.684247</v>
      </c>
      <c r="G23" s="18">
        <f t="shared" si="5"/>
        <v>32256.59208</v>
      </c>
      <c r="H23" s="18">
        <f t="shared" si="7"/>
        <v>917511.1017</v>
      </c>
    </row>
    <row r="24" ht="22.5" customHeight="1">
      <c r="A24" s="17">
        <v>10.0</v>
      </c>
      <c r="B24" s="18">
        <f t="shared" si="6"/>
        <v>1478308.017</v>
      </c>
      <c r="C24" s="19">
        <f t="shared" si="1"/>
        <v>767070.3676</v>
      </c>
      <c r="D24" s="18">
        <f t="shared" si="2"/>
        <v>17739.69621</v>
      </c>
      <c r="E24" s="18">
        <f t="shared" si="3"/>
        <v>5321.908862</v>
      </c>
      <c r="F24" s="18">
        <f t="shared" si="4"/>
        <v>10064.01793</v>
      </c>
      <c r="G24" s="18">
        <f t="shared" si="5"/>
        <v>33125.623</v>
      </c>
      <c r="H24" s="18">
        <f t="shared" si="7"/>
        <v>999291.1397</v>
      </c>
    </row>
    <row r="25" ht="22.5" customHeight="1">
      <c r="A25" s="17">
        <v>11.0</v>
      </c>
      <c r="B25" s="18">
        <f t="shared" si="6"/>
        <v>1522657.258</v>
      </c>
      <c r="C25" s="19">
        <f t="shared" si="1"/>
        <v>833165.4657</v>
      </c>
      <c r="D25" s="18">
        <f t="shared" si="2"/>
        <v>18271.88709</v>
      </c>
      <c r="E25" s="18">
        <f t="shared" si="3"/>
        <v>5481.566128</v>
      </c>
      <c r="F25" s="18">
        <f t="shared" si="4"/>
        <v>10265.29829</v>
      </c>
      <c r="G25" s="18">
        <f t="shared" si="5"/>
        <v>34018.75151</v>
      </c>
      <c r="H25" s="18">
        <f t="shared" si="7"/>
        <v>1081616.673</v>
      </c>
    </row>
    <row r="26" ht="22.5" customHeight="1">
      <c r="A26" s="17">
        <v>12.0</v>
      </c>
      <c r="B26" s="18">
        <f t="shared" si="6"/>
        <v>1568336.976</v>
      </c>
      <c r="C26" s="19">
        <f t="shared" si="1"/>
        <v>901655.8425</v>
      </c>
      <c r="D26" s="18">
        <f t="shared" si="2"/>
        <v>18820.04371</v>
      </c>
      <c r="E26" s="18">
        <f t="shared" si="3"/>
        <v>5646.013112</v>
      </c>
      <c r="F26" s="18">
        <f t="shared" si="4"/>
        <v>10470.60426</v>
      </c>
      <c r="G26" s="18">
        <f t="shared" si="5"/>
        <v>34936.66107</v>
      </c>
      <c r="H26" s="18">
        <f t="shared" si="7"/>
        <v>1164504.067</v>
      </c>
    </row>
    <row r="27" ht="22.5" customHeight="1">
      <c r="A27" s="17">
        <v>13.0</v>
      </c>
      <c r="B27" s="18">
        <f t="shared" si="6"/>
        <v>1615387.085</v>
      </c>
      <c r="C27" s="19">
        <f t="shared" si="1"/>
        <v>972633.5514</v>
      </c>
      <c r="D27" s="18">
        <f t="shared" si="2"/>
        <v>19384.64502</v>
      </c>
      <c r="E27" s="18">
        <f t="shared" si="3"/>
        <v>5815.393505</v>
      </c>
      <c r="F27" s="18">
        <f t="shared" si="4"/>
        <v>10680.01634</v>
      </c>
      <c r="G27" s="18">
        <f t="shared" si="5"/>
        <v>35880.05486</v>
      </c>
      <c r="H27" s="18">
        <f t="shared" si="7"/>
        <v>1247970.178</v>
      </c>
    </row>
    <row r="28" ht="22.5" customHeight="1">
      <c r="A28" s="17">
        <v>14.0</v>
      </c>
      <c r="B28" s="18">
        <f t="shared" si="6"/>
        <v>1663848.697</v>
      </c>
      <c r="C28" s="19">
        <f t="shared" si="1"/>
        <v>1046194.396</v>
      </c>
      <c r="D28" s="18">
        <f t="shared" si="2"/>
        <v>19966.18437</v>
      </c>
      <c r="E28" s="18">
        <f t="shared" si="3"/>
        <v>5989.85531</v>
      </c>
      <c r="F28" s="18">
        <f t="shared" si="4"/>
        <v>10893.61667</v>
      </c>
      <c r="G28" s="18">
        <f t="shared" si="5"/>
        <v>36849.65635</v>
      </c>
      <c r="H28" s="18">
        <f t="shared" si="7"/>
        <v>1332032.366</v>
      </c>
    </row>
    <row r="29" ht="22.5" customHeight="1">
      <c r="A29" s="17">
        <v>15.0</v>
      </c>
      <c r="B29" s="18">
        <f t="shared" si="6"/>
        <v>1713764.158</v>
      </c>
      <c r="C29" s="19">
        <f t="shared" si="1"/>
        <v>1122438.09</v>
      </c>
      <c r="D29" s="18">
        <f t="shared" si="2"/>
        <v>20565.1699</v>
      </c>
      <c r="E29" s="18">
        <f t="shared" si="3"/>
        <v>6169.55097</v>
      </c>
      <c r="F29" s="18">
        <f t="shared" si="4"/>
        <v>11111.489</v>
      </c>
      <c r="G29" s="18">
        <f t="shared" si="5"/>
        <v>37846.20987</v>
      </c>
      <c r="H29" s="18">
        <f t="shared" si="7"/>
        <v>1416708.515</v>
      </c>
    </row>
    <row r="30" ht="22.5" customHeight="1">
      <c r="A30" s="17">
        <v>16.0</v>
      </c>
      <c r="B30" s="18">
        <f t="shared" si="6"/>
        <v>1765177.083</v>
      </c>
      <c r="C30" s="19">
        <f t="shared" si="1"/>
        <v>1201468.43</v>
      </c>
      <c r="D30" s="18">
        <f t="shared" si="2"/>
        <v>21182.125</v>
      </c>
      <c r="E30" s="18">
        <f t="shared" si="3"/>
        <v>6354.637499</v>
      </c>
      <c r="F30" s="18">
        <f t="shared" si="4"/>
        <v>11333.71878</v>
      </c>
      <c r="G30" s="18">
        <f t="shared" si="5"/>
        <v>38870.48128</v>
      </c>
      <c r="H30" s="18">
        <f t="shared" si="7"/>
        <v>1502017.042</v>
      </c>
    </row>
    <row r="31" ht="22.5" customHeight="1">
      <c r="A31" s="17">
        <v>17.0</v>
      </c>
      <c r="B31" s="18">
        <f t="shared" si="6"/>
        <v>1818132.395</v>
      </c>
      <c r="C31" s="19">
        <f t="shared" si="1"/>
        <v>1283393.464</v>
      </c>
      <c r="D31" s="18">
        <f t="shared" si="2"/>
        <v>21817.58875</v>
      </c>
      <c r="E31" s="18">
        <f t="shared" si="3"/>
        <v>6545.276624</v>
      </c>
      <c r="F31" s="18">
        <f t="shared" si="4"/>
        <v>11560.39316</v>
      </c>
      <c r="G31" s="18">
        <f t="shared" si="5"/>
        <v>39923.25853</v>
      </c>
      <c r="H31" s="18">
        <f t="shared" si="7"/>
        <v>1587976.92</v>
      </c>
    </row>
    <row r="32" ht="22.5" customHeight="1">
      <c r="A32" s="17">
        <v>18.0</v>
      </c>
      <c r="B32" s="18">
        <f t="shared" si="6"/>
        <v>1872676.367</v>
      </c>
      <c r="C32" s="19">
        <f t="shared" si="1"/>
        <v>1368325.681</v>
      </c>
      <c r="D32" s="18">
        <f t="shared" si="2"/>
        <v>22472.11641</v>
      </c>
      <c r="E32" s="18">
        <f t="shared" si="3"/>
        <v>6741.634923</v>
      </c>
      <c r="F32" s="18">
        <f t="shared" si="4"/>
        <v>11791.60102</v>
      </c>
      <c r="G32" s="18">
        <f t="shared" si="5"/>
        <v>41005.35235</v>
      </c>
      <c r="H32" s="18">
        <f t="shared" si="7"/>
        <v>1674607.689</v>
      </c>
    </row>
    <row r="33" ht="22.5" customHeight="1">
      <c r="A33" s="17">
        <v>19.0</v>
      </c>
      <c r="B33" s="18">
        <f t="shared" si="6"/>
        <v>1928856.658</v>
      </c>
      <c r="C33" s="19">
        <f t="shared" si="1"/>
        <v>1456382.199</v>
      </c>
      <c r="D33" s="18">
        <f t="shared" si="2"/>
        <v>23146.2799</v>
      </c>
      <c r="E33" s="18">
        <f t="shared" si="3"/>
        <v>6943.88397</v>
      </c>
      <c r="F33" s="18">
        <f t="shared" si="4"/>
        <v>12027.43304</v>
      </c>
      <c r="G33" s="18">
        <f t="shared" si="5"/>
        <v>42117.59691</v>
      </c>
      <c r="H33" s="18">
        <f t="shared" si="7"/>
        <v>1761929.475</v>
      </c>
    </row>
    <row r="34" ht="22.5" customHeight="1">
      <c r="A34" s="17">
        <v>20.0</v>
      </c>
      <c r="B34" s="18">
        <f t="shared" si="6"/>
        <v>1986722.358</v>
      </c>
      <c r="C34" s="19">
        <f t="shared" si="1"/>
        <v>1547684.969</v>
      </c>
      <c r="D34" s="18">
        <f t="shared" si="2"/>
        <v>23840.6683</v>
      </c>
      <c r="E34" s="18">
        <f t="shared" si="3"/>
        <v>7152.200489</v>
      </c>
      <c r="F34" s="18">
        <f t="shared" si="4"/>
        <v>12267.9817</v>
      </c>
      <c r="G34" s="18">
        <f t="shared" si="5"/>
        <v>43260.85049</v>
      </c>
      <c r="H34" s="18">
        <f t="shared" si="7"/>
        <v>1849963.009</v>
      </c>
    </row>
    <row r="35" ht="22.5" customHeight="1">
      <c r="A35" s="17">
        <v>21.0</v>
      </c>
      <c r="B35" s="18">
        <f t="shared" si="6"/>
        <v>2046324.029</v>
      </c>
      <c r="C35" s="19">
        <f t="shared" si="1"/>
        <v>1642360.98</v>
      </c>
      <c r="D35" s="18">
        <f t="shared" si="2"/>
        <v>24555.88835</v>
      </c>
      <c r="E35" s="18">
        <f t="shared" si="3"/>
        <v>7366.766504</v>
      </c>
      <c r="F35" s="18">
        <f t="shared" si="4"/>
        <v>12513.34134</v>
      </c>
      <c r="G35" s="18">
        <f t="shared" si="5"/>
        <v>44435.99619</v>
      </c>
      <c r="H35" s="18">
        <f t="shared" si="7"/>
        <v>1938729.644</v>
      </c>
    </row>
    <row r="36" ht="22.5" customHeight="1">
      <c r="A36" s="17">
        <v>22.0</v>
      </c>
      <c r="B36" s="18">
        <f t="shared" si="6"/>
        <v>2107713.75</v>
      </c>
      <c r="C36" s="19">
        <f t="shared" si="1"/>
        <v>1740542.481</v>
      </c>
      <c r="D36" s="18">
        <f t="shared" si="2"/>
        <v>25292.565</v>
      </c>
      <c r="E36" s="18">
        <f t="shared" si="3"/>
        <v>7587.769499</v>
      </c>
      <c r="F36" s="18">
        <f t="shared" si="4"/>
        <v>12763.60816</v>
      </c>
      <c r="G36" s="18">
        <f t="shared" si="5"/>
        <v>45643.94266</v>
      </c>
      <c r="H36" s="18">
        <f t="shared" si="7"/>
        <v>2028251.372</v>
      </c>
    </row>
    <row r="37" ht="22.5" customHeight="1">
      <c r="A37" s="17">
        <v>23.0</v>
      </c>
      <c r="B37" s="18">
        <f t="shared" si="6"/>
        <v>2170945.162</v>
      </c>
      <c r="C37" s="19">
        <f t="shared" si="1"/>
        <v>1842367.21</v>
      </c>
      <c r="D37" s="18">
        <f t="shared" si="2"/>
        <v>26051.34195</v>
      </c>
      <c r="E37" s="18">
        <f t="shared" si="3"/>
        <v>7815.402584</v>
      </c>
      <c r="F37" s="18">
        <f t="shared" si="4"/>
        <v>13018.88033</v>
      </c>
      <c r="G37" s="18">
        <f t="shared" si="5"/>
        <v>46885.62486</v>
      </c>
      <c r="H37" s="18">
        <f t="shared" si="7"/>
        <v>2118550.847</v>
      </c>
    </row>
    <row r="38" ht="22.5" customHeight="1">
      <c r="A38" s="17">
        <v>24.0</v>
      </c>
      <c r="B38" s="18">
        <f t="shared" si="6"/>
        <v>2236073.517</v>
      </c>
      <c r="C38" s="19">
        <f t="shared" si="1"/>
        <v>1947978.632</v>
      </c>
      <c r="D38" s="18">
        <f t="shared" si="2"/>
        <v>26832.88221</v>
      </c>
      <c r="E38" s="18">
        <f t="shared" si="3"/>
        <v>8049.864662</v>
      </c>
      <c r="F38" s="18">
        <f t="shared" si="4"/>
        <v>13279.25793</v>
      </c>
      <c r="G38" s="18">
        <f t="shared" si="5"/>
        <v>48162.0048</v>
      </c>
      <c r="H38" s="18">
        <f t="shared" si="7"/>
        <v>2209651.401</v>
      </c>
    </row>
    <row r="39" ht="22.5" customHeight="1">
      <c r="A39" s="17">
        <v>25.0</v>
      </c>
      <c r="B39" s="18">
        <f t="shared" si="6"/>
        <v>2303155.723</v>
      </c>
      <c r="C39" s="19">
        <f t="shared" si="1"/>
        <v>2057526.186</v>
      </c>
      <c r="D39" s="18">
        <f t="shared" si="2"/>
        <v>27637.86867</v>
      </c>
      <c r="E39" s="18">
        <f t="shared" si="3"/>
        <v>8291.360601</v>
      </c>
      <c r="F39" s="18">
        <f t="shared" si="4"/>
        <v>13544.84309</v>
      </c>
      <c r="G39" s="18">
        <f t="shared" si="5"/>
        <v>49474.07236</v>
      </c>
      <c r="H39" s="18">
        <f t="shared" si="7"/>
        <v>2301577.066</v>
      </c>
    </row>
    <row r="40" ht="22.5" customHeight="1">
      <c r="A40" s="17">
        <v>26.0</v>
      </c>
      <c r="B40" s="18">
        <f t="shared" si="6"/>
        <v>2372250.394</v>
      </c>
      <c r="C40" s="19">
        <f t="shared" si="1"/>
        <v>2171165.553</v>
      </c>
      <c r="D40" s="18">
        <f t="shared" si="2"/>
        <v>28467.00473</v>
      </c>
      <c r="E40" s="18">
        <f t="shared" si="3"/>
        <v>8540.101419</v>
      </c>
      <c r="F40" s="18">
        <f t="shared" si="4"/>
        <v>13815.73995</v>
      </c>
      <c r="G40" s="18">
        <f t="shared" si="5"/>
        <v>50822.8461</v>
      </c>
      <c r="H40" s="18">
        <f t="shared" si="7"/>
        <v>2394352.595</v>
      </c>
    </row>
    <row r="41" ht="22.5" customHeight="1">
      <c r="A41" s="17">
        <v>27.0</v>
      </c>
      <c r="B41" s="18">
        <f t="shared" si="6"/>
        <v>2443417.906</v>
      </c>
      <c r="C41" s="19">
        <f t="shared" si="1"/>
        <v>2289058.924</v>
      </c>
      <c r="D41" s="18">
        <f t="shared" si="2"/>
        <v>29321.01487</v>
      </c>
      <c r="E41" s="18">
        <f t="shared" si="3"/>
        <v>8796.304462</v>
      </c>
      <c r="F41" s="18">
        <f t="shared" si="4"/>
        <v>14092.05475</v>
      </c>
      <c r="G41" s="18">
        <f t="shared" si="5"/>
        <v>52209.37409</v>
      </c>
      <c r="H41" s="18">
        <f t="shared" si="7"/>
        <v>2488003.484</v>
      </c>
    </row>
    <row r="42" ht="22.5" customHeight="1">
      <c r="A42" s="17">
        <v>28.0</v>
      </c>
      <c r="B42" s="18">
        <f t="shared" si="6"/>
        <v>2516720.443</v>
      </c>
      <c r="C42" s="19">
        <f t="shared" si="1"/>
        <v>2411375.285</v>
      </c>
      <c r="D42" s="18">
        <f t="shared" si="2"/>
        <v>30200.64532</v>
      </c>
      <c r="E42" s="18">
        <f t="shared" si="3"/>
        <v>9060.193596</v>
      </c>
      <c r="F42" s="18">
        <f t="shared" si="4"/>
        <v>14373.89585</v>
      </c>
      <c r="G42" s="18">
        <f t="shared" si="5"/>
        <v>53634.73476</v>
      </c>
      <c r="H42" s="18">
        <f t="shared" si="7"/>
        <v>2582555.995</v>
      </c>
    </row>
    <row r="43" ht="22.5" customHeight="1">
      <c r="A43" s="17">
        <v>29.0</v>
      </c>
      <c r="B43" s="18">
        <f t="shared" si="6"/>
        <v>2592222.057</v>
      </c>
      <c r="C43" s="19">
        <f t="shared" si="1"/>
        <v>2538290.72</v>
      </c>
      <c r="D43" s="18">
        <f t="shared" si="2"/>
        <v>31106.66468</v>
      </c>
      <c r="E43" s="18">
        <f t="shared" si="3"/>
        <v>9331.999404</v>
      </c>
      <c r="F43" s="18">
        <f t="shared" si="4"/>
        <v>14661.37376</v>
      </c>
      <c r="G43" s="18">
        <f t="shared" si="5"/>
        <v>55100.03785</v>
      </c>
      <c r="H43" s="18">
        <f t="shared" si="7"/>
        <v>2678037.176</v>
      </c>
    </row>
    <row r="44" ht="22.5" customHeight="1">
      <c r="A44" s="17">
        <v>30.0</v>
      </c>
      <c r="B44" s="18">
        <f t="shared" si="6"/>
        <v>2669988.718</v>
      </c>
      <c r="C44" s="19">
        <f t="shared" si="1"/>
        <v>2669988.718</v>
      </c>
      <c r="D44" s="18">
        <f t="shared" si="2"/>
        <v>32039.86462</v>
      </c>
      <c r="E44" s="18">
        <f t="shared" si="3"/>
        <v>9611.959386</v>
      </c>
      <c r="F44" s="18">
        <f t="shared" si="4"/>
        <v>14954.60124</v>
      </c>
      <c r="G44" s="18">
        <f t="shared" si="5"/>
        <v>56606.42524</v>
      </c>
      <c r="H44" s="18">
        <f t="shared" si="7"/>
        <v>2774474.886</v>
      </c>
    </row>
  </sheetData>
  <dataValidations>
    <dataValidation type="custom" allowBlank="1" showDropDown="1" sqref="A14:D44 H14:H44">
      <formula1>AND(ISNUMBER(A14),(NOT(OR(NOT(ISERROR(DATEVALUE(A14))), AND(ISNUMBER(A14), LEFT(CELL("format", A14))="D")))))</formula1>
    </dataValidation>
  </dataValidations>
  <drawing r:id="rId1"/>
  <tableParts count="1">
    <tablePart r:id="rId3"/>
  </tableParts>
</worksheet>
</file>